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adirizkypratama/Downloads/"/>
    </mc:Choice>
  </mc:AlternateContent>
  <xr:revisionPtr revIDLastSave="0" documentId="13_ncr:1_{3867A4AC-B3C1-FD44-B8F6-6C5303B97CF2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MASTER" sheetId="9" r:id="rId1"/>
  </sheets>
  <definedNames>
    <definedName name="_xlnm._FilterDatabase" localSheetId="0" hidden="1">MASTER!$A$1:$T$19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G2" i="9" l="1"/>
  <c r="I19" i="9" l="1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</calcChain>
</file>

<file path=xl/sharedStrings.xml><?xml version="1.0" encoding="utf-8"?>
<sst xmlns="http://schemas.openxmlformats.org/spreadsheetml/2006/main" count="257" uniqueCount="140">
  <si>
    <t>No</t>
  </si>
  <si>
    <t>NIK</t>
  </si>
  <si>
    <t>Nama Lengkap</t>
  </si>
  <si>
    <t>Tempat lahir</t>
  </si>
  <si>
    <t>Kode Pos</t>
  </si>
  <si>
    <t>Nama Ibu Kandung</t>
  </si>
  <si>
    <t>Tempat Mengajar</t>
  </si>
  <si>
    <t>Alamat Lembaga</t>
  </si>
  <si>
    <t>Jumlah Bantuan</t>
  </si>
  <si>
    <t>KET</t>
  </si>
  <si>
    <t xml:space="preserve">Alamat </t>
  </si>
  <si>
    <t>RT</t>
  </si>
  <si>
    <t>RW</t>
  </si>
  <si>
    <t>Kel/Desa</t>
  </si>
  <si>
    <t>Kecamatan</t>
  </si>
  <si>
    <t>3215245607010002</t>
  </si>
  <si>
    <t>Suci Noor Shopia</t>
  </si>
  <si>
    <t>Karawang</t>
  </si>
  <si>
    <t xml:space="preserve">Dusun Cicinde IA </t>
  </si>
  <si>
    <t>002</t>
  </si>
  <si>
    <t>001</t>
  </si>
  <si>
    <t>Cicinde Selatan</t>
  </si>
  <si>
    <t>Banyusari</t>
  </si>
  <si>
    <t>Ude Rohaida</t>
  </si>
  <si>
    <t>Mathlaul Falah</t>
  </si>
  <si>
    <t>Dusun Cicinde 1-A Rt 002 Rw 001 Desa Cicinde Selatan</t>
  </si>
  <si>
    <t>3215244805960003</t>
  </si>
  <si>
    <t>Meilani Rahmawati</t>
  </si>
  <si>
    <t xml:space="preserve">Dusun Cicinde 1A </t>
  </si>
  <si>
    <t>Uum Mardiah</t>
  </si>
  <si>
    <t>3215244211820003</t>
  </si>
  <si>
    <t>Siti Mariam</t>
  </si>
  <si>
    <t>Dusun Bangsasuta</t>
  </si>
  <si>
    <t>005</t>
  </si>
  <si>
    <t>Hj.Nengsih</t>
  </si>
  <si>
    <t>Miftahul Khoer</t>
  </si>
  <si>
    <t>Kp Bangsasuta Rt 004 Rw 005 Desa Cicinde Selatan</t>
  </si>
  <si>
    <t>3215245007830002</t>
  </si>
  <si>
    <t>Yuliah</t>
  </si>
  <si>
    <t>Hj.Nining</t>
  </si>
  <si>
    <t>3215240505910003</t>
  </si>
  <si>
    <t>Ahmad Fauzi</t>
  </si>
  <si>
    <t>3215240501620002</t>
  </si>
  <si>
    <t>H.Aat Kusmana</t>
  </si>
  <si>
    <t>Dusun Cicinde III</t>
  </si>
  <si>
    <t>004</t>
  </si>
  <si>
    <t>Cicinde Utara</t>
  </si>
  <si>
    <t>Mardinah</t>
  </si>
  <si>
    <t>Al-Khoeriyah</t>
  </si>
  <si>
    <t>Dusun Cicinde III Rt 002 Rw 003 Desa Cicinde Utara</t>
  </si>
  <si>
    <t>3215240709780002</t>
  </si>
  <si>
    <t xml:space="preserve">Asep Saefudin </t>
  </si>
  <si>
    <t xml:space="preserve">Dusun Cicinde III </t>
  </si>
  <si>
    <t>003</t>
  </si>
  <si>
    <t>Romlah</t>
  </si>
  <si>
    <t>3215240311880001</t>
  </si>
  <si>
    <t xml:space="preserve">Miftah Fadilah </t>
  </si>
  <si>
    <t xml:space="preserve">Dusun Cinde III </t>
  </si>
  <si>
    <t>Kokom Komariah</t>
  </si>
  <si>
    <t>3215246505860001</t>
  </si>
  <si>
    <t>Wiwin Nurjanah</t>
  </si>
  <si>
    <t>Dusun Dadut</t>
  </si>
  <si>
    <t>007</t>
  </si>
  <si>
    <t>Tetih</t>
  </si>
  <si>
    <t>At-Thoyyibah</t>
  </si>
  <si>
    <t>Dusun Dadut Rt 002 Rw 007 Desa Cicinde utara</t>
  </si>
  <si>
    <t>3216025503690005</t>
  </si>
  <si>
    <t>Neneng Nurhayani</t>
  </si>
  <si>
    <t>Bekasi</t>
  </si>
  <si>
    <t>006</t>
  </si>
  <si>
    <t>Tati Nurhayati</t>
  </si>
  <si>
    <t>3215246110680001</t>
  </si>
  <si>
    <t>Lilis Sulistiati</t>
  </si>
  <si>
    <t>Dusun Cicinde IA</t>
  </si>
  <si>
    <t>Iin R</t>
  </si>
  <si>
    <t>Albarkah</t>
  </si>
  <si>
    <t>Dusun Cicinde 1-A Rt 003 Rw 002 Desa Cicinde Selatan</t>
  </si>
  <si>
    <t>3215244207820003</t>
  </si>
  <si>
    <t>Lina Reti</t>
  </si>
  <si>
    <t>Karyati</t>
  </si>
  <si>
    <t>3215245006790000</t>
  </si>
  <si>
    <t>Ii Nurmilah</t>
  </si>
  <si>
    <t>Kp Mekarsari</t>
  </si>
  <si>
    <t>Jayamukti</t>
  </si>
  <si>
    <t>Hj.Siti Robiah</t>
  </si>
  <si>
    <t>Al-Istiqomah</t>
  </si>
  <si>
    <t>Kp Mekarsari Rt 003 Rw 005 Desa Jayamukti</t>
  </si>
  <si>
    <t>3215242310910003</t>
  </si>
  <si>
    <t>Ibnu Rois</t>
  </si>
  <si>
    <t>Kp Jayamekar</t>
  </si>
  <si>
    <t>Napsiah</t>
  </si>
  <si>
    <t>3215240310020001</t>
  </si>
  <si>
    <t>Dadan Hamdani</t>
  </si>
  <si>
    <t>Kp Sukamulya</t>
  </si>
  <si>
    <t>Mumun</t>
  </si>
  <si>
    <t>Al-Barokah</t>
  </si>
  <si>
    <t>Kp Karajan Rt 001 Rw 001 Desa Gempol Kolot</t>
  </si>
  <si>
    <t>3215247005700001</t>
  </si>
  <si>
    <t>Ida Sayidah</t>
  </si>
  <si>
    <t xml:space="preserve">Kp Karajan II </t>
  </si>
  <si>
    <t>H.Juariyah</t>
  </si>
  <si>
    <t>3215245401930004</t>
  </si>
  <si>
    <t>Vina Fauziyah</t>
  </si>
  <si>
    <t>Kp Gempol Haji</t>
  </si>
  <si>
    <t>Siti Nahriyah</t>
  </si>
  <si>
    <t>3215240804490001</t>
  </si>
  <si>
    <t>Ujib Efendi</t>
  </si>
  <si>
    <t>Dusun Cikalong</t>
  </si>
  <si>
    <t>,002</t>
  </si>
  <si>
    <t>Pamekaran</t>
  </si>
  <si>
    <t>Hindun</t>
  </si>
  <si>
    <t>Irsyadul Athfal</t>
  </si>
  <si>
    <t>Dusun Babakan Banten Rt 002 Rw 002 Desa Pamekaran</t>
  </si>
  <si>
    <t>07/09/1978</t>
  </si>
  <si>
    <t>07/05/1986</t>
  </si>
  <si>
    <t>GURU DTA</t>
  </si>
  <si>
    <t>16/07/2001</t>
  </si>
  <si>
    <t>08/05/1996</t>
  </si>
  <si>
    <t>02/11/1982</t>
  </si>
  <si>
    <t>10/07/1983</t>
  </si>
  <si>
    <t>05/01/1962</t>
  </si>
  <si>
    <t>30/09/1988</t>
  </si>
  <si>
    <t>25/05/1986</t>
  </si>
  <si>
    <t>15/03/1969</t>
  </si>
  <si>
    <t>21/10/1968</t>
  </si>
  <si>
    <t>02/07/1982</t>
  </si>
  <si>
    <t>10/06/1979</t>
  </si>
  <si>
    <t>23/10/1991</t>
  </si>
  <si>
    <t>03/10/2002</t>
  </si>
  <si>
    <t>30/05/1970</t>
  </si>
  <si>
    <t>14/01/1993</t>
  </si>
  <si>
    <t>08/04/1949</t>
  </si>
  <si>
    <t>Tanggal / Bulan / Tahun lahir</t>
  </si>
  <si>
    <t>TANGGAL</t>
  </si>
  <si>
    <t>BULAN</t>
  </si>
  <si>
    <t>TAHUN</t>
  </si>
  <si>
    <t>NO REKENING</t>
  </si>
  <si>
    <t>JENIS REKENING</t>
  </si>
  <si>
    <t>TIPE REKENING</t>
  </si>
  <si>
    <t>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</si>
</sst>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80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/>
    <xf numFmtId="41" fontId="1" fillId="0" borderId="0" applyFont="0" applyFill="0" applyBorder="0" applyAlignment="0" applyProtection="0"/>
    <xf numFmtId="0" fontId="3" fillId="0" borderId="0"/>
    <xf numFmtId="164" fontId="3" fillId="0" borderId="0"/>
    <xf numFmtId="0" fontId="4" fillId="0" borderId="0">
      <alignment vertical="center"/>
    </xf>
    <xf numFmtId="0" fontId="1" fillId="0" borderId="0"/>
    <xf numFmtId="0" fontId="4" fillId="0" borderId="0">
      <alignment vertical="center"/>
    </xf>
    <xf numFmtId="0" fontId="5" fillId="0" borderId="0"/>
    <xf numFmtId="0" fontId="3" fillId="0" borderId="0"/>
    <xf numFmtId="0" fontId="6" fillId="0" borderId="0"/>
    <xf numFmtId="0" fontId="1" fillId="0" borderId="0"/>
    <xf numFmtId="0" fontId="7" fillId="0" borderId="0"/>
    <xf numFmtId="0" fontId="1" fillId="0" borderId="0"/>
    <xf numFmtId="165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180" fontId="0" fillId="0" borderId="0" xfId="14" applyNumberFormat="1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80" fontId="0" fillId="0" borderId="0" xfId="14" applyNumberFormat="1" applyFont="1" applyAlignment="1">
      <alignment horizontal="center"/>
    </xf>
    <xf numFmtId="0" fontId="0" fillId="2" borderId="0" xfId="0" applyFill="1"/>
  </cellXfs>
  <cellStyles count="15">
    <cellStyle name="Comma" xfId="14" builtinId="3"/>
    <cellStyle name="Comma [0] 2" xfId="2" xr:uid="{00000000-0005-0000-0000-000001000000}"/>
    <cellStyle name="Comma [0] 5" xfId="4" xr:uid="{00000000-0005-0000-0000-000002000000}"/>
    <cellStyle name="Normal" xfId="0" builtinId="0"/>
    <cellStyle name="Normal 17" xfId="13" xr:uid="{00000000-0005-0000-0000-000004000000}"/>
    <cellStyle name="Normal 2" xfId="1" xr:uid="{00000000-0005-0000-0000-000005000000}"/>
    <cellStyle name="Normal 2 2" xfId="6" xr:uid="{00000000-0005-0000-0000-000006000000}"/>
    <cellStyle name="Normal 3" xfId="3" xr:uid="{00000000-0005-0000-0000-000007000000}"/>
    <cellStyle name="Normal 3 2" xfId="11" xr:uid="{00000000-0005-0000-0000-000008000000}"/>
    <cellStyle name="Normal 4" xfId="8" xr:uid="{00000000-0005-0000-0000-000009000000}"/>
    <cellStyle name="Normal 5" xfId="7" xr:uid="{00000000-0005-0000-0000-00000A000000}"/>
    <cellStyle name="Normal 6" xfId="5" xr:uid="{00000000-0005-0000-0000-00000B000000}"/>
    <cellStyle name="Normal 7" xfId="9" xr:uid="{00000000-0005-0000-0000-00000C000000}"/>
    <cellStyle name="Normal 8" xfId="10" xr:uid="{00000000-0005-0000-0000-00000D000000}"/>
    <cellStyle name="Normal 9" xfId="12" xr:uid="{00000000-0005-0000-0000-00000E00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80" formatCode="_-* #,##0_-;\-* #,##0_-;_-* &quot;-&quot;??_-;_-@_-"/>
    </dxf>
    <dxf>
      <numFmt numFmtId="181" formatCode="dd/mm/yyyy"/>
    </dxf>
    <dxf>
      <numFmt numFmtId="0" formatCode="General"/>
    </dxf>
    <dxf>
      <numFmt numFmtId="181" formatCode="dd/mm/yyyy"/>
    </dxf>
    <dxf>
      <numFmt numFmtId="0" formatCode="General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181" formatCode="dd/mm/yyyy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19" totalsRowShown="0" headerRowDxfId="18">
  <autoFilter ref="A1:W19" xr:uid="{00000000-0009-0000-0100-000001000000}"/>
  <sortState xmlns:xlrd2="http://schemas.microsoft.com/office/spreadsheetml/2017/richdata2" ref="A2:W19">
    <sortCondition ref="A1:A19"/>
  </sortState>
  <tableColumns count="23">
    <tableColumn id="1" xr3:uid="{00000000-0010-0000-0000-000001000000}" name="No"/>
    <tableColumn id="2" xr3:uid="{00000000-0010-0000-0000-000002000000}" name="NIK"/>
    <tableColumn id="23" xr3:uid="{00000000-0010-0000-0000-000017000000}" name="LEN" dataDxfId="17" totalsRowDxfId="16">
      <calculatedColumnFormula>LEN(Table1[[#This Row],[NIK]])</calculatedColumnFormula>
    </tableColumn>
    <tableColumn id="3" xr3:uid="{00000000-0010-0000-0000-000003000000}" name="Nama Lengkap"/>
    <tableColumn id="4" xr3:uid="{00000000-0010-0000-0000-000004000000}" name="Tempat lahir"/>
    <tableColumn id="5" xr3:uid="{00000000-0010-0000-0000-000005000000}" name="Tanggal / Bulan / Tahun lahir" dataDxfId="15" totalsRowDxfId="14"/>
    <tableColumn id="6" xr3:uid="{00000000-0010-0000-0000-000006000000}" name="TANGGAL" dataDxfId="13" totalsRowDxfId="12">
      <calculatedColumnFormula>LEFT(F2,2)</calculatedColumnFormula>
    </tableColumn>
    <tableColumn id="7" xr3:uid="{00000000-0010-0000-0000-000007000000}" name="BULAN" dataDxfId="11" totalsRowDxfId="10">
      <calculatedColumnFormula>MID(F2,4,2)</calculatedColumnFormula>
    </tableColumn>
    <tableColumn id="8" xr3:uid="{00000000-0010-0000-0000-000008000000}" name="TAHUN" dataDxfId="9" totalsRowDxfId="8">
      <calculatedColumnFormula>RIGHT(F2,4)</calculatedColumnFormula>
    </tableColumn>
    <tableColumn id="9" xr3:uid="{00000000-0010-0000-0000-000009000000}" name="Alamat " dataDxfId="7" totalsRowDxfId="6"/>
    <tableColumn id="10" xr3:uid="{00000000-0010-0000-0000-00000A000000}" name="RT" dataDxfId="5" totalsRowDxfId="4"/>
    <tableColumn id="11" xr3:uid="{00000000-0010-0000-0000-00000B000000}" name="RW" dataDxfId="3" totalsRowDxfId="2"/>
    <tableColumn id="12" xr3:uid="{00000000-0010-0000-0000-00000C000000}" name="Kel/Desa"/>
    <tableColumn id="13" xr3:uid="{00000000-0010-0000-0000-00000D000000}" name="Kecamatan"/>
    <tableColumn id="14" xr3:uid="{00000000-0010-0000-0000-00000E000000}" name="Kode Pos"/>
    <tableColumn id="15" xr3:uid="{00000000-0010-0000-0000-00000F000000}" name="Nama Ibu Kandung"/>
    <tableColumn id="16" xr3:uid="{00000000-0010-0000-0000-000010000000}" name="Tempat Mengajar"/>
    <tableColumn id="17" xr3:uid="{00000000-0010-0000-0000-000011000000}" name="Alamat Lembaga"/>
    <tableColumn id="18" xr3:uid="{00000000-0010-0000-0000-000012000000}" name="Jumlah Bantuan" dataDxfId="1" totalsRowDxfId="0" dataCellStyle="Comma"/>
    <tableColumn id="19" xr3:uid="{00000000-0010-0000-0000-000013000000}" name="KET"/>
    <tableColumn id="20" xr3:uid="{00000000-0010-0000-0000-000014000000}" name="NO REKENING"/>
    <tableColumn id="21" xr3:uid="{00000000-0010-0000-0000-000015000000}" name="JENIS REKENING"/>
    <tableColumn id="22" xr3:uid="{00000000-0010-0000-0000-000016000000}" name="TIPE REKE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5.6640625" customWidth="1"/>
    <col min="2" max="2" width="19.5" bestFit="1" customWidth="1"/>
    <col min="3" max="3" width="8.83203125" bestFit="1" customWidth="1"/>
    <col min="4" max="4" width="37.5" bestFit="1" customWidth="1"/>
    <col min="5" max="5" width="24" bestFit="1" customWidth="1"/>
    <col min="6" max="6" width="28.1640625" style="1" customWidth="1"/>
    <col min="7" max="7" width="14.33203125" style="3" bestFit="1" customWidth="1"/>
    <col min="8" max="8" width="11.5" style="3" bestFit="1" customWidth="1"/>
    <col min="9" max="9" width="11.83203125" style="3" bestFit="1" customWidth="1"/>
    <col min="10" max="10" width="46.5" customWidth="1"/>
    <col min="11" max="11" width="14" customWidth="1"/>
    <col min="12" max="12" width="10.5" customWidth="1"/>
    <col min="13" max="13" width="26.5" bestFit="1" customWidth="1"/>
    <col min="14" max="14" width="19.5" bestFit="1" customWidth="1"/>
    <col min="15" max="15" width="11.33203125" customWidth="1"/>
    <col min="16" max="16" width="29.83203125" bestFit="1" customWidth="1"/>
    <col min="17" max="17" width="33.5" bestFit="1" customWidth="1"/>
    <col min="18" max="18" width="57" customWidth="1"/>
    <col min="19" max="19" width="18.83203125" style="2" bestFit="1" customWidth="1"/>
    <col min="20" max="20" width="10.5" bestFit="1" customWidth="1"/>
    <col min="21" max="21" width="18.1640625" bestFit="1" customWidth="1"/>
    <col min="22" max="22" width="20" bestFit="1" customWidth="1"/>
    <col min="23" max="23" width="19" bestFit="1" customWidth="1"/>
  </cols>
  <sheetData>
    <row r="1" spans="1:23" x14ac:dyDescent="0.2">
      <c r="A1" s="6" t="s">
        <v>0</v>
      </c>
      <c r="B1" s="6" t="s">
        <v>1</v>
      </c>
      <c r="C1" s="6" t="s">
        <v>139</v>
      </c>
      <c r="D1" s="6" t="s">
        <v>2</v>
      </c>
      <c r="E1" s="6" t="s">
        <v>3</v>
      </c>
      <c r="F1" s="5" t="s">
        <v>132</v>
      </c>
      <c r="G1" s="4" t="s">
        <v>133</v>
      </c>
      <c r="H1" s="4" t="s">
        <v>134</v>
      </c>
      <c r="I1" s="4" t="s">
        <v>135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4</v>
      </c>
      <c r="P1" s="6" t="s">
        <v>5</v>
      </c>
      <c r="Q1" s="6" t="s">
        <v>6</v>
      </c>
      <c r="R1" s="6" t="s">
        <v>7</v>
      </c>
      <c r="S1" s="7" t="s">
        <v>8</v>
      </c>
      <c r="T1" s="6" t="s">
        <v>9</v>
      </c>
      <c r="U1" s="6" t="s">
        <v>136</v>
      </c>
      <c r="V1" s="6" t="s">
        <v>137</v>
      </c>
      <c r="W1" s="6" t="s">
        <v>138</v>
      </c>
    </row>
    <row r="2" spans="1:23" x14ac:dyDescent="0.2">
      <c r="A2">
        <v>1</v>
      </c>
      <c r="B2" t="s">
        <v>15</v>
      </c>
      <c r="C2">
        <f>LEN(Table1[[#This Row],[NIK]])</f>
        <v>16</v>
      </c>
      <c r="D2" t="s">
        <v>16</v>
      </c>
      <c r="E2" t="s">
        <v>17</v>
      </c>
      <c r="F2" s="5" t="s">
        <v>116</v>
      </c>
      <c r="G2" s="3" t="str">
        <f t="shared" ref="G2:G19" si="0">LEFT(F2,2)</f>
        <v>16</v>
      </c>
      <c r="H2" s="3" t="str">
        <f t="shared" ref="H2:H19" si="1">MID(F2,4,2)</f>
        <v>07</v>
      </c>
      <c r="I2" s="3" t="str">
        <f t="shared" ref="I2:I19" si="2">RIGHT(F2,4)</f>
        <v>2001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>
        <v>41374</v>
      </c>
      <c r="P2" t="s">
        <v>23</v>
      </c>
      <c r="Q2" t="s">
        <v>24</v>
      </c>
      <c r="R2" t="s">
        <v>25</v>
      </c>
      <c r="S2" s="2">
        <v>1200000</v>
      </c>
      <c r="T2" t="s">
        <v>115</v>
      </c>
    </row>
    <row r="3" spans="1:23" x14ac:dyDescent="0.2">
      <c r="A3">
        <v>2</v>
      </c>
      <c r="B3" t="s">
        <v>26</v>
      </c>
      <c r="C3">
        <f>LEN(Table1[[#This Row],[NIK]])</f>
        <v>16</v>
      </c>
      <c r="D3" t="s">
        <v>27</v>
      </c>
      <c r="E3" t="s">
        <v>17</v>
      </c>
      <c r="F3" s="5" t="s">
        <v>117</v>
      </c>
      <c r="G3" s="3" t="str">
        <f t="shared" si="0"/>
        <v>08</v>
      </c>
      <c r="H3" s="3" t="str">
        <f t="shared" si="1"/>
        <v>05</v>
      </c>
      <c r="I3" s="3" t="str">
        <f t="shared" si="2"/>
        <v>1996</v>
      </c>
      <c r="J3" t="s">
        <v>28</v>
      </c>
      <c r="K3" t="s">
        <v>20</v>
      </c>
      <c r="L3" t="s">
        <v>20</v>
      </c>
      <c r="M3" t="s">
        <v>21</v>
      </c>
      <c r="N3" t="s">
        <v>22</v>
      </c>
      <c r="O3">
        <v>41374</v>
      </c>
      <c r="P3" t="s">
        <v>29</v>
      </c>
      <c r="Q3" t="s">
        <v>24</v>
      </c>
      <c r="R3" t="s">
        <v>25</v>
      </c>
      <c r="S3" s="2">
        <v>1200000</v>
      </c>
      <c r="T3" t="s">
        <v>115</v>
      </c>
    </row>
    <row r="4" spans="1:23" x14ac:dyDescent="0.2">
      <c r="A4">
        <v>3</v>
      </c>
      <c r="B4" t="s">
        <v>30</v>
      </c>
      <c r="C4">
        <f>LEN(Table1[[#This Row],[NIK]])</f>
        <v>16</v>
      </c>
      <c r="D4" t="s">
        <v>31</v>
      </c>
      <c r="E4" t="s">
        <v>17</v>
      </c>
      <c r="F4" s="5" t="s">
        <v>118</v>
      </c>
      <c r="G4" s="3" t="str">
        <f t="shared" si="0"/>
        <v>02</v>
      </c>
      <c r="H4" s="3" t="str">
        <f t="shared" si="1"/>
        <v>11</v>
      </c>
      <c r="I4" s="3" t="str">
        <f t="shared" si="2"/>
        <v>1982</v>
      </c>
      <c r="J4" t="s">
        <v>32</v>
      </c>
      <c r="K4" t="s">
        <v>20</v>
      </c>
      <c r="L4" t="s">
        <v>33</v>
      </c>
      <c r="M4" t="s">
        <v>21</v>
      </c>
      <c r="N4" t="s">
        <v>22</v>
      </c>
      <c r="O4">
        <v>41374</v>
      </c>
      <c r="P4" t="s">
        <v>34</v>
      </c>
      <c r="Q4" t="s">
        <v>35</v>
      </c>
      <c r="R4" t="s">
        <v>36</v>
      </c>
      <c r="S4" s="2">
        <v>1200000</v>
      </c>
      <c r="T4" t="s">
        <v>115</v>
      </c>
    </row>
    <row r="5" spans="1:23" x14ac:dyDescent="0.2">
      <c r="A5">
        <v>4</v>
      </c>
      <c r="B5" t="s">
        <v>37</v>
      </c>
      <c r="C5">
        <f>LEN(Table1[[#This Row],[NIK]])</f>
        <v>16</v>
      </c>
      <c r="D5" t="s">
        <v>38</v>
      </c>
      <c r="E5" t="s">
        <v>17</v>
      </c>
      <c r="F5" s="5" t="s">
        <v>119</v>
      </c>
      <c r="G5" s="3" t="str">
        <f t="shared" si="0"/>
        <v>10</v>
      </c>
      <c r="H5" s="3" t="str">
        <f t="shared" si="1"/>
        <v>07</v>
      </c>
      <c r="I5" s="3" t="str">
        <f t="shared" si="2"/>
        <v>1983</v>
      </c>
      <c r="J5" t="s">
        <v>32</v>
      </c>
      <c r="K5" t="s">
        <v>19</v>
      </c>
      <c r="L5" t="s">
        <v>33</v>
      </c>
      <c r="M5" t="s">
        <v>21</v>
      </c>
      <c r="N5" t="s">
        <v>22</v>
      </c>
      <c r="O5">
        <v>41374</v>
      </c>
      <c r="P5" t="s">
        <v>39</v>
      </c>
      <c r="Q5" t="s">
        <v>35</v>
      </c>
      <c r="R5" t="s">
        <v>36</v>
      </c>
      <c r="S5" s="2">
        <v>1200000</v>
      </c>
      <c r="T5" t="s">
        <v>115</v>
      </c>
    </row>
    <row r="6" spans="1:23" x14ac:dyDescent="0.2">
      <c r="A6">
        <v>5</v>
      </c>
      <c r="B6" t="s">
        <v>40</v>
      </c>
      <c r="C6">
        <f>LEN(Table1[[#This Row],[NIK]])</f>
        <v>16</v>
      </c>
      <c r="D6" t="s">
        <v>41</v>
      </c>
      <c r="E6" t="s">
        <v>17</v>
      </c>
      <c r="F6" s="5" t="s">
        <v>114</v>
      </c>
      <c r="G6" s="3" t="str">
        <f t="shared" si="0"/>
        <v>07</v>
      </c>
      <c r="H6" s="3" t="str">
        <f t="shared" si="1"/>
        <v>05</v>
      </c>
      <c r="I6" s="3" t="str">
        <f t="shared" si="2"/>
        <v>1986</v>
      </c>
      <c r="J6" t="s">
        <v>32</v>
      </c>
      <c r="K6" t="s">
        <v>20</v>
      </c>
      <c r="L6" t="s">
        <v>33</v>
      </c>
      <c r="M6" t="s">
        <v>21</v>
      </c>
      <c r="N6" t="s">
        <v>22</v>
      </c>
      <c r="O6">
        <v>41374</v>
      </c>
      <c r="P6" t="s">
        <v>34</v>
      </c>
      <c r="Q6" t="s">
        <v>35</v>
      </c>
      <c r="R6" t="s">
        <v>36</v>
      </c>
      <c r="S6" s="2">
        <v>1200000</v>
      </c>
      <c r="T6" t="s">
        <v>115</v>
      </c>
    </row>
    <row r="7" spans="1:23" x14ac:dyDescent="0.2">
      <c r="A7">
        <v>6</v>
      </c>
      <c r="B7" t="s">
        <v>42</v>
      </c>
      <c r="C7">
        <f>LEN(Table1[[#This Row],[NIK]])</f>
        <v>16</v>
      </c>
      <c r="D7" t="s">
        <v>43</v>
      </c>
      <c r="E7" t="s">
        <v>17</v>
      </c>
      <c r="F7" s="5" t="s">
        <v>120</v>
      </c>
      <c r="G7" s="3" t="str">
        <f t="shared" si="0"/>
        <v>05</v>
      </c>
      <c r="H7" s="3" t="str">
        <f t="shared" si="1"/>
        <v>01</v>
      </c>
      <c r="I7" s="3" t="str">
        <f t="shared" si="2"/>
        <v>1962</v>
      </c>
      <c r="J7" t="s">
        <v>44</v>
      </c>
      <c r="K7" t="s">
        <v>19</v>
      </c>
      <c r="L7" t="s">
        <v>45</v>
      </c>
      <c r="M7" t="s">
        <v>46</v>
      </c>
      <c r="N7" t="s">
        <v>22</v>
      </c>
      <c r="O7">
        <v>41374</v>
      </c>
      <c r="P7" t="s">
        <v>47</v>
      </c>
      <c r="Q7" t="s">
        <v>48</v>
      </c>
      <c r="R7" t="s">
        <v>49</v>
      </c>
      <c r="S7" s="2">
        <v>1200000</v>
      </c>
      <c r="T7" t="s">
        <v>115</v>
      </c>
    </row>
    <row r="8" spans="1:23" x14ac:dyDescent="0.2">
      <c r="A8">
        <v>7</v>
      </c>
      <c r="B8" t="s">
        <v>50</v>
      </c>
      <c r="C8">
        <f>LEN(Table1[[#This Row],[NIK]])</f>
        <v>16</v>
      </c>
      <c r="D8" t="s">
        <v>51</v>
      </c>
      <c r="E8" t="s">
        <v>17</v>
      </c>
      <c r="F8" s="5" t="s">
        <v>113</v>
      </c>
      <c r="G8" s="3" t="str">
        <f t="shared" si="0"/>
        <v>07</v>
      </c>
      <c r="H8" s="3" t="str">
        <f t="shared" si="1"/>
        <v>09</v>
      </c>
      <c r="I8" s="3" t="str">
        <f t="shared" si="2"/>
        <v>1978</v>
      </c>
      <c r="J8" t="s">
        <v>52</v>
      </c>
      <c r="K8" t="s">
        <v>19</v>
      </c>
      <c r="L8" t="s">
        <v>53</v>
      </c>
      <c r="M8" t="s">
        <v>46</v>
      </c>
      <c r="N8" t="s">
        <v>22</v>
      </c>
      <c r="O8">
        <v>41374</v>
      </c>
      <c r="P8" t="s">
        <v>54</v>
      </c>
      <c r="Q8" t="s">
        <v>48</v>
      </c>
      <c r="R8" t="s">
        <v>49</v>
      </c>
      <c r="S8" s="2">
        <v>1200000</v>
      </c>
      <c r="T8" t="s">
        <v>115</v>
      </c>
    </row>
    <row r="9" spans="1:23" x14ac:dyDescent="0.2">
      <c r="A9">
        <v>8</v>
      </c>
      <c r="B9" t="s">
        <v>55</v>
      </c>
      <c r="C9">
        <f>LEN(Table1[[#This Row],[NIK]])</f>
        <v>16</v>
      </c>
      <c r="D9" t="s">
        <v>56</v>
      </c>
      <c r="E9" t="s">
        <v>17</v>
      </c>
      <c r="F9" s="5" t="s">
        <v>121</v>
      </c>
      <c r="G9" s="3" t="str">
        <f t="shared" si="0"/>
        <v>30</v>
      </c>
      <c r="H9" s="3" t="str">
        <f t="shared" si="1"/>
        <v>09</v>
      </c>
      <c r="I9" s="3" t="str">
        <f t="shared" si="2"/>
        <v>1988</v>
      </c>
      <c r="J9" t="s">
        <v>57</v>
      </c>
      <c r="K9" t="s">
        <v>19</v>
      </c>
      <c r="L9" t="s">
        <v>45</v>
      </c>
      <c r="M9" t="s">
        <v>46</v>
      </c>
      <c r="N9" t="s">
        <v>22</v>
      </c>
      <c r="O9">
        <v>41374</v>
      </c>
      <c r="P9" t="s">
        <v>58</v>
      </c>
      <c r="Q9" t="s">
        <v>48</v>
      </c>
      <c r="R9" t="s">
        <v>49</v>
      </c>
      <c r="S9" s="2">
        <v>1200000</v>
      </c>
      <c r="T9" t="s">
        <v>115</v>
      </c>
    </row>
    <row r="10" spans="1:23" x14ac:dyDescent="0.2">
      <c r="A10">
        <v>9</v>
      </c>
      <c r="B10" t="s">
        <v>59</v>
      </c>
      <c r="C10">
        <f>LEN(Table1[[#This Row],[NIK]])</f>
        <v>16</v>
      </c>
      <c r="D10" t="s">
        <v>60</v>
      </c>
      <c r="E10" t="s">
        <v>17</v>
      </c>
      <c r="F10" s="5" t="s">
        <v>122</v>
      </c>
      <c r="G10" s="3" t="str">
        <f t="shared" si="0"/>
        <v>25</v>
      </c>
      <c r="H10" s="3" t="str">
        <f t="shared" si="1"/>
        <v>05</v>
      </c>
      <c r="I10" s="3" t="str">
        <f t="shared" si="2"/>
        <v>1986</v>
      </c>
      <c r="J10" t="s">
        <v>61</v>
      </c>
      <c r="K10" t="s">
        <v>19</v>
      </c>
      <c r="L10" t="s">
        <v>62</v>
      </c>
      <c r="M10" t="s">
        <v>46</v>
      </c>
      <c r="N10" t="s">
        <v>22</v>
      </c>
      <c r="O10">
        <v>41374</v>
      </c>
      <c r="P10" t="s">
        <v>63</v>
      </c>
      <c r="Q10" t="s">
        <v>64</v>
      </c>
      <c r="R10" t="s">
        <v>65</v>
      </c>
      <c r="S10" s="2">
        <v>1200000</v>
      </c>
      <c r="T10" t="s">
        <v>115</v>
      </c>
    </row>
    <row r="11" spans="1:23" x14ac:dyDescent="0.2">
      <c r="A11">
        <v>10</v>
      </c>
      <c r="B11" t="s">
        <v>66</v>
      </c>
      <c r="C11">
        <f>LEN(Table1[[#This Row],[NIK]])</f>
        <v>16</v>
      </c>
      <c r="D11" t="s">
        <v>67</v>
      </c>
      <c r="E11" t="s">
        <v>68</v>
      </c>
      <c r="F11" s="5" t="s">
        <v>123</v>
      </c>
      <c r="G11" s="3" t="str">
        <f t="shared" si="0"/>
        <v>15</v>
      </c>
      <c r="H11" s="3" t="str">
        <f t="shared" si="1"/>
        <v>03</v>
      </c>
      <c r="I11" s="3" t="str">
        <f t="shared" si="2"/>
        <v>1969</v>
      </c>
      <c r="J11" t="s">
        <v>61</v>
      </c>
      <c r="K11" t="s">
        <v>20</v>
      </c>
      <c r="L11" t="s">
        <v>69</v>
      </c>
      <c r="M11" t="s">
        <v>46</v>
      </c>
      <c r="N11" t="s">
        <v>22</v>
      </c>
      <c r="O11">
        <v>41374</v>
      </c>
      <c r="P11" t="s">
        <v>70</v>
      </c>
      <c r="Q11" t="s">
        <v>64</v>
      </c>
      <c r="R11" t="s">
        <v>65</v>
      </c>
      <c r="S11" s="2">
        <v>1200000</v>
      </c>
      <c r="T11" t="s">
        <v>115</v>
      </c>
    </row>
    <row r="12" spans="1:23" x14ac:dyDescent="0.2">
      <c r="A12">
        <v>11</v>
      </c>
      <c r="B12" t="s">
        <v>71</v>
      </c>
      <c r="C12">
        <f>LEN(Table1[[#This Row],[NIK]])</f>
        <v>16</v>
      </c>
      <c r="D12" t="s">
        <v>72</v>
      </c>
      <c r="E12" t="s">
        <v>17</v>
      </c>
      <c r="F12" s="5" t="s">
        <v>124</v>
      </c>
      <c r="G12" s="3" t="str">
        <f t="shared" si="0"/>
        <v>21</v>
      </c>
      <c r="H12" s="3" t="str">
        <f t="shared" si="1"/>
        <v>10</v>
      </c>
      <c r="I12" s="3" t="str">
        <f t="shared" si="2"/>
        <v>1968</v>
      </c>
      <c r="J12" t="s">
        <v>73</v>
      </c>
      <c r="K12" t="s">
        <v>33</v>
      </c>
      <c r="L12" t="s">
        <v>19</v>
      </c>
      <c r="M12" t="s">
        <v>21</v>
      </c>
      <c r="N12" t="s">
        <v>22</v>
      </c>
      <c r="O12">
        <v>41374</v>
      </c>
      <c r="P12" t="s">
        <v>74</v>
      </c>
      <c r="Q12" t="s">
        <v>75</v>
      </c>
      <c r="R12" t="s">
        <v>76</v>
      </c>
      <c r="S12" s="2">
        <v>1200000</v>
      </c>
      <c r="T12" t="s">
        <v>115</v>
      </c>
    </row>
    <row r="13" spans="1:23" x14ac:dyDescent="0.2">
      <c r="A13">
        <v>12</v>
      </c>
      <c r="B13" t="s">
        <v>77</v>
      </c>
      <c r="C13">
        <f>LEN(Table1[[#This Row],[NIK]])</f>
        <v>16</v>
      </c>
      <c r="D13" t="s">
        <v>78</v>
      </c>
      <c r="E13" t="s">
        <v>17</v>
      </c>
      <c r="F13" s="5" t="s">
        <v>125</v>
      </c>
      <c r="G13" s="3" t="str">
        <f t="shared" si="0"/>
        <v>02</v>
      </c>
      <c r="H13" s="3" t="str">
        <f t="shared" si="1"/>
        <v>07</v>
      </c>
      <c r="I13" s="3" t="str">
        <f t="shared" si="2"/>
        <v>1982</v>
      </c>
      <c r="J13" t="s">
        <v>28</v>
      </c>
      <c r="K13" t="s">
        <v>53</v>
      </c>
      <c r="L13" t="s">
        <v>19</v>
      </c>
      <c r="M13" t="s">
        <v>21</v>
      </c>
      <c r="N13" t="s">
        <v>22</v>
      </c>
      <c r="O13">
        <v>41374</v>
      </c>
      <c r="P13" t="s">
        <v>79</v>
      </c>
      <c r="Q13" t="s">
        <v>75</v>
      </c>
      <c r="R13" t="s">
        <v>76</v>
      </c>
      <c r="S13" s="2">
        <v>1200000</v>
      </c>
      <c r="T13" t="s">
        <v>115</v>
      </c>
    </row>
    <row r="14" spans="1:23" x14ac:dyDescent="0.2">
      <c r="A14">
        <v>13</v>
      </c>
      <c r="B14" s="8" t="s">
        <v>80</v>
      </c>
      <c r="C14">
        <f>LEN(Table1[[#This Row],[NIK]])</f>
        <v>16</v>
      </c>
      <c r="D14" t="s">
        <v>81</v>
      </c>
      <c r="E14" t="s">
        <v>17</v>
      </c>
      <c r="F14" s="5" t="s">
        <v>126</v>
      </c>
      <c r="G14" s="3" t="str">
        <f t="shared" si="0"/>
        <v>10</v>
      </c>
      <c r="H14" s="3" t="str">
        <f t="shared" si="1"/>
        <v>06</v>
      </c>
      <c r="I14" s="3" t="str">
        <f t="shared" si="2"/>
        <v>1979</v>
      </c>
      <c r="J14" t="s">
        <v>82</v>
      </c>
      <c r="K14" t="s">
        <v>20</v>
      </c>
      <c r="L14" t="s">
        <v>33</v>
      </c>
      <c r="M14" t="s">
        <v>83</v>
      </c>
      <c r="N14" t="s">
        <v>22</v>
      </c>
      <c r="O14">
        <v>41374</v>
      </c>
      <c r="P14" t="s">
        <v>84</v>
      </c>
      <c r="Q14" t="s">
        <v>85</v>
      </c>
      <c r="R14" t="s">
        <v>86</v>
      </c>
      <c r="S14" s="2">
        <v>1200000</v>
      </c>
      <c r="T14" t="s">
        <v>115</v>
      </c>
    </row>
    <row r="15" spans="1:23" x14ac:dyDescent="0.2">
      <c r="A15">
        <v>14</v>
      </c>
      <c r="B15" t="s">
        <v>87</v>
      </c>
      <c r="C15">
        <f>LEN(Table1[[#This Row],[NIK]])</f>
        <v>16</v>
      </c>
      <c r="D15" t="s">
        <v>88</v>
      </c>
      <c r="E15" t="s">
        <v>17</v>
      </c>
      <c r="F15" s="5" t="s">
        <v>127</v>
      </c>
      <c r="G15" s="3" t="str">
        <f t="shared" si="0"/>
        <v>23</v>
      </c>
      <c r="H15" s="3" t="str">
        <f t="shared" si="1"/>
        <v>10</v>
      </c>
      <c r="I15" s="3" t="str">
        <f t="shared" si="2"/>
        <v>1991</v>
      </c>
      <c r="J15" t="s">
        <v>89</v>
      </c>
      <c r="K15" t="s">
        <v>19</v>
      </c>
      <c r="L15" t="s">
        <v>45</v>
      </c>
      <c r="M15" t="s">
        <v>83</v>
      </c>
      <c r="N15" t="s">
        <v>22</v>
      </c>
      <c r="O15">
        <v>41374</v>
      </c>
      <c r="P15" t="s">
        <v>90</v>
      </c>
      <c r="Q15" t="s">
        <v>85</v>
      </c>
      <c r="R15" t="s">
        <v>86</v>
      </c>
      <c r="S15" s="2">
        <v>1200000</v>
      </c>
      <c r="T15" t="s">
        <v>115</v>
      </c>
    </row>
    <row r="16" spans="1:23" x14ac:dyDescent="0.2">
      <c r="A16">
        <v>15</v>
      </c>
      <c r="B16" t="s">
        <v>91</v>
      </c>
      <c r="C16">
        <f>LEN(Table1[[#This Row],[NIK]])</f>
        <v>16</v>
      </c>
      <c r="D16" t="s">
        <v>92</v>
      </c>
      <c r="E16" t="s">
        <v>17</v>
      </c>
      <c r="F16" s="5" t="s">
        <v>128</v>
      </c>
      <c r="G16" s="3" t="str">
        <f t="shared" si="0"/>
        <v>03</v>
      </c>
      <c r="H16" s="3" t="str">
        <f t="shared" si="1"/>
        <v>10</v>
      </c>
      <c r="I16" s="3" t="str">
        <f t="shared" si="2"/>
        <v>2002</v>
      </c>
      <c r="J16" t="s">
        <v>93</v>
      </c>
      <c r="K16" t="s">
        <v>19</v>
      </c>
      <c r="L16" t="s">
        <v>69</v>
      </c>
      <c r="M16" t="s">
        <v>83</v>
      </c>
      <c r="N16" t="s">
        <v>22</v>
      </c>
      <c r="O16">
        <v>41374</v>
      </c>
      <c r="P16" t="s">
        <v>94</v>
      </c>
      <c r="Q16" t="s">
        <v>95</v>
      </c>
      <c r="R16" t="s">
        <v>96</v>
      </c>
      <c r="S16" s="2">
        <v>1200000</v>
      </c>
      <c r="T16" t="s">
        <v>115</v>
      </c>
    </row>
    <row r="17" spans="1:20" x14ac:dyDescent="0.2">
      <c r="A17">
        <v>16</v>
      </c>
      <c r="B17" t="s">
        <v>97</v>
      </c>
      <c r="C17">
        <f>LEN(Table1[[#This Row],[NIK]])</f>
        <v>16</v>
      </c>
      <c r="D17" t="s">
        <v>98</v>
      </c>
      <c r="E17" t="s">
        <v>17</v>
      </c>
      <c r="F17" s="5" t="s">
        <v>129</v>
      </c>
      <c r="G17" s="3" t="str">
        <f t="shared" si="0"/>
        <v>30</v>
      </c>
      <c r="H17" s="3" t="str">
        <f t="shared" si="1"/>
        <v>05</v>
      </c>
      <c r="I17" s="3" t="str">
        <f t="shared" si="2"/>
        <v>1970</v>
      </c>
      <c r="J17" t="s">
        <v>99</v>
      </c>
      <c r="K17" t="s">
        <v>19</v>
      </c>
      <c r="L17" t="s">
        <v>19</v>
      </c>
      <c r="M17" t="s">
        <v>83</v>
      </c>
      <c r="N17" t="s">
        <v>22</v>
      </c>
      <c r="O17">
        <v>41374</v>
      </c>
      <c r="P17" t="s">
        <v>100</v>
      </c>
      <c r="Q17" t="s">
        <v>95</v>
      </c>
      <c r="R17" t="s">
        <v>96</v>
      </c>
      <c r="S17" s="2">
        <v>1200000</v>
      </c>
      <c r="T17" t="s">
        <v>115</v>
      </c>
    </row>
    <row r="18" spans="1:20" x14ac:dyDescent="0.2">
      <c r="A18">
        <v>17</v>
      </c>
      <c r="B18" t="s">
        <v>101</v>
      </c>
      <c r="C18">
        <f>LEN(Table1[[#This Row],[NIK]])</f>
        <v>16</v>
      </c>
      <c r="D18" t="s">
        <v>102</v>
      </c>
      <c r="E18" t="s">
        <v>17</v>
      </c>
      <c r="F18" s="5" t="s">
        <v>130</v>
      </c>
      <c r="G18" s="3" t="str">
        <f t="shared" si="0"/>
        <v>14</v>
      </c>
      <c r="H18" s="3" t="str">
        <f t="shared" si="1"/>
        <v>01</v>
      </c>
      <c r="I18" s="3" t="str">
        <f t="shared" si="2"/>
        <v>1993</v>
      </c>
      <c r="J18" t="s">
        <v>103</v>
      </c>
      <c r="K18" t="s">
        <v>20</v>
      </c>
      <c r="L18" t="s">
        <v>53</v>
      </c>
      <c r="M18" t="s">
        <v>83</v>
      </c>
      <c r="N18" t="s">
        <v>22</v>
      </c>
      <c r="O18">
        <v>41374</v>
      </c>
      <c r="P18" t="s">
        <v>104</v>
      </c>
      <c r="Q18" t="s">
        <v>95</v>
      </c>
      <c r="R18" t="s">
        <v>96</v>
      </c>
      <c r="S18" s="2">
        <v>1200000</v>
      </c>
      <c r="T18" t="s">
        <v>115</v>
      </c>
    </row>
    <row r="19" spans="1:20" x14ac:dyDescent="0.2">
      <c r="A19">
        <v>18</v>
      </c>
      <c r="B19" t="s">
        <v>105</v>
      </c>
      <c r="C19">
        <f>LEN(Table1[[#This Row],[NIK]])</f>
        <v>16</v>
      </c>
      <c r="D19" t="s">
        <v>106</v>
      </c>
      <c r="E19" t="s">
        <v>17</v>
      </c>
      <c r="F19" s="5" t="s">
        <v>131</v>
      </c>
      <c r="G19" s="3" t="str">
        <f t="shared" si="0"/>
        <v>08</v>
      </c>
      <c r="H19" s="3" t="str">
        <f t="shared" si="1"/>
        <v>04</v>
      </c>
      <c r="I19" s="3" t="str">
        <f t="shared" si="2"/>
        <v>1949</v>
      </c>
      <c r="J19" t="s">
        <v>107</v>
      </c>
      <c r="K19" t="s">
        <v>53</v>
      </c>
      <c r="L19" t="s">
        <v>108</v>
      </c>
      <c r="M19" t="s">
        <v>109</v>
      </c>
      <c r="N19" t="s">
        <v>22</v>
      </c>
      <c r="O19">
        <v>41374</v>
      </c>
      <c r="P19" t="s">
        <v>110</v>
      </c>
      <c r="Q19" t="s">
        <v>111</v>
      </c>
      <c r="R19" t="s">
        <v>112</v>
      </c>
      <c r="S19" s="2">
        <v>1200000</v>
      </c>
      <c r="T19" t="s">
        <v>115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 Rahmat</dc:creator>
  <cp:lastModifiedBy>adi rizky</cp:lastModifiedBy>
  <dcterms:created xsi:type="dcterms:W3CDTF">2025-03-03T01:32:58Z</dcterms:created>
  <dcterms:modified xsi:type="dcterms:W3CDTF">2025-03-06T11:51:13Z</dcterms:modified>
</cp:coreProperties>
</file>